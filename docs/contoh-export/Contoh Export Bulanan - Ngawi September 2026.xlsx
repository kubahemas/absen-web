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_rels/sheet2.xml.rels" ContentType="application/vnd.openxmlformats-package.relationship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  <Override PartName="/xl/comments2.xml" ContentType="application/vnd.openxmlformats-officedocument.spreadsheetml.comments+xml"/>
  <Override PartName="/xl/drawings/vmlDrawing1.vml" ContentType="application/vnd.openxmlformats-officedocument.vmlDrawing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Data" sheetId="1" state="visible" r:id="rId3"/>
    <sheet name="Gaji" sheetId="2" state="visible" r:id="rId4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comments2.xml><?xml version="1.0" encoding="utf-8"?>
<comments xmlns="http://schemas.openxmlformats.org/spreadsheetml/2006/main" xmlns:xdr="http://schemas.openxmlformats.org/drawingml/2006/spreadsheetDrawing">
  <authors>
    <author>Unknown Author</author>
  </authors>
  <commentList>
    <comment ref="D2" authorId="0">
      <text>
        <r>
          <rPr>
            <sz val="10"/>
            <rFont val="Arial"/>
            <family val="2"/>
          </rPr>
          <t xml:space="preserve">Baris ini diisi contoh dari slip gaji (Gaji pokok s/d Bonus hadir). Ganti dengan angka sebenarnya.</t>
        </r>
      </text>
    </comment>
    <comment ref="S1" authorId="0">
      <text>
        <r>
          <rPr>
            <sz val="10"/>
            <rFont val="Arial"/>
            <family val="2"/>
          </rPr>
          <t xml:space="preserve">Asumsi: SISA = sisa piutang yang belum dibayar. Hanya informasi, tidak ikut Jumlah potongan.</t>
        </r>
      </text>
    </comment>
    <comment ref="U1" authorId="0">
      <text>
        <r>
          <rPr>
            <sz val="10"/>
            <rFont val="Arial"/>
            <family val="2"/>
          </rPr>
          <t xml:space="preserve">Jumlah potongan = Piutang + Potongan.</t>
        </r>
      </text>
    </comment>
    <comment ref="V1" authorId="0">
      <text>
        <r>
          <rPr>
            <sz val="10"/>
            <rFont val="Arial"/>
            <family val="2"/>
          </rPr>
          <t xml:space="preserve">Total gaji = Jumlah pendapatan - Jumlah potongan.</t>
        </r>
      </text>
    </comment>
  </commentList>
</comments>
</file>

<file path=xl/sharedStrings.xml><?xml version="1.0" encoding="utf-8"?>
<sst xmlns="http://schemas.openxmlformats.org/spreadsheetml/2006/main" count="61" uniqueCount="47">
  <si>
    <t xml:space="preserve">Cabang</t>
  </si>
  <si>
    <t xml:space="preserve">ID</t>
  </si>
  <si>
    <t xml:space="preserve">Nama</t>
  </si>
  <si>
    <t xml:space="preserve">Label</t>
  </si>
  <si>
    <t xml:space="preserve">Hari kerja</t>
  </si>
  <si>
    <t xml:space="preserve">Hari aktif</t>
  </si>
  <si>
    <t xml:space="preserve">Ontime</t>
  </si>
  <si>
    <t xml:space="preserve">Telat</t>
  </si>
  <si>
    <t xml:space="preserve">Telat (menit)</t>
  </si>
  <si>
    <t xml:space="preserve">Pulang awal</t>
  </si>
  <si>
    <t xml:space="preserve">Alpha</t>
  </si>
  <si>
    <t xml:space="preserve">Izin</t>
  </si>
  <si>
    <t xml:space="preserve">Sakit</t>
  </si>
  <si>
    <t xml:space="preserve">Cuti</t>
  </si>
  <si>
    <t xml:space="preserve">Sisa cuti</t>
  </si>
  <si>
    <t xml:space="preserve">Lembur &lt;1 jam</t>
  </si>
  <si>
    <t xml:space="preserve">Lembur 1-2 jam</t>
  </si>
  <si>
    <t xml:space="preserve">Lembur &gt;2 jam</t>
  </si>
  <si>
    <t xml:space="preserve">Ngawi</t>
  </si>
  <si>
    <t xml:space="preserve">K001</t>
  </si>
  <si>
    <t xml:space="preserve">Ahmad Fauzi</t>
  </si>
  <si>
    <t xml:space="preserve">EXCELLENT</t>
  </si>
  <si>
    <t xml:space="preserve">K003</t>
  </si>
  <si>
    <t xml:space="preserve">Budi Santoso</t>
  </si>
  <si>
    <t xml:space="preserve">BAD</t>
  </si>
  <si>
    <t xml:space="preserve">K004</t>
  </si>
  <si>
    <t xml:space="preserve">Rina Wati</t>
  </si>
  <si>
    <t xml:space="preserve">GOOD</t>
  </si>
  <si>
    <t xml:space="preserve">K002</t>
  </si>
  <si>
    <t xml:space="preserve">Siti Rohmah</t>
  </si>
  <si>
    <t xml:space="preserve">Data dari aplikasi absensi, September 2026. Semua angka dalam hari, kecuali Telat (menit).</t>
  </si>
  <si>
    <t xml:space="preserve">Gaji pokok</t>
  </si>
  <si>
    <t xml:space="preserve">Jabatan</t>
  </si>
  <si>
    <t xml:space="preserve">Performa</t>
  </si>
  <si>
    <t xml:space="preserve">Kehadiran</t>
  </si>
  <si>
    <t xml:space="preserve">Lembur</t>
  </si>
  <si>
    <t xml:space="preserve">Bonus hadir</t>
  </si>
  <si>
    <t xml:space="preserve">Piutang</t>
  </si>
  <si>
    <t xml:space="preserve">Potongan</t>
  </si>
  <si>
    <t xml:space="preserve">Sisa</t>
  </si>
  <si>
    <t xml:space="preserve">Jumlah pendapatan</t>
  </si>
  <si>
    <t xml:space="preserve">Jumlah potongan</t>
  </si>
  <si>
    <t xml:space="preserve">Total gaji</t>
  </si>
  <si>
    <t xml:space="preserve">Petunjuk:</t>
  </si>
  <si>
    <t xml:space="preserve">Kolom kuning (huruf biru): diisi manual oleh bagian keuangan.</t>
  </si>
  <si>
    <t xml:space="preserve">Huruf hijau: terisi otomatis dari sheet Data, jangan diubah.</t>
  </si>
  <si>
    <t xml:space="preserve">Jumlah pendapatan, Jumlah potongan, dan Total gaji dihitung otomatis.</t>
  </si>
</sst>
</file>

<file path=xl/styles.xml><?xml version="1.0" encoding="utf-8"?>
<styleSheet xmlns="http://schemas.openxmlformats.org/spreadsheetml/2006/main">
  <numFmts count="3">
    <numFmt numFmtId="164" formatCode="General"/>
    <numFmt numFmtId="165" formatCode="#,##0;\(#,##0\);\-"/>
    <numFmt numFmtId="166" formatCode="General"/>
  </numFmts>
  <fonts count="14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1"/>
      <color rgb="FFFFD62E"/>
      <name val="Arial"/>
      <family val="0"/>
      <charset val="1"/>
    </font>
    <font>
      <sz val="11"/>
      <name val="Arial"/>
      <family val="0"/>
      <charset val="1"/>
    </font>
    <font>
      <b val="true"/>
      <sz val="11"/>
      <color rgb="FF8A6100"/>
      <name val="Arial"/>
      <family val="0"/>
      <charset val="1"/>
    </font>
    <font>
      <b val="true"/>
      <sz val="11"/>
      <color rgb="FFB91C1C"/>
      <name val="Arial"/>
      <family val="0"/>
      <charset val="1"/>
    </font>
    <font>
      <b val="true"/>
      <sz val="11"/>
      <color rgb="FF1F8A4C"/>
      <name val="Arial"/>
      <family val="0"/>
      <charset val="1"/>
    </font>
    <font>
      <i val="true"/>
      <sz val="11"/>
      <color rgb="FF5A5B5E"/>
      <name val="Arial"/>
      <family val="0"/>
      <charset val="1"/>
    </font>
    <font>
      <sz val="11"/>
      <color rgb="FF008000"/>
      <name val="Arial"/>
      <family val="0"/>
      <charset val="1"/>
    </font>
    <font>
      <sz val="11"/>
      <color rgb="FF0000FF"/>
      <name val="Arial"/>
      <family val="0"/>
      <charset val="1"/>
    </font>
    <font>
      <b val="true"/>
      <sz val="11"/>
      <name val="Arial"/>
      <family val="0"/>
      <charset val="1"/>
    </font>
    <font>
      <sz val="10"/>
      <name val="Arial"/>
      <family val="2"/>
    </font>
  </fonts>
  <fills count="4">
    <fill>
      <patternFill patternType="none"/>
    </fill>
    <fill>
      <patternFill patternType="gray125"/>
    </fill>
    <fill>
      <patternFill patternType="solid">
        <fgColor rgb="FF333438"/>
        <bgColor rgb="FF333300"/>
      </patternFill>
    </fill>
    <fill>
      <patternFill patternType="solid">
        <fgColor rgb="FFFFF4C2"/>
        <bgColor rgb="FFFFFF99"/>
      </patternFill>
    </fill>
  </fills>
  <borders count="2">
    <border diagonalUp="false" diagonalDown="false">
      <left/>
      <right/>
      <top/>
      <bottom/>
      <diagonal/>
    </border>
    <border diagonalUp="false" diagonalDown="false">
      <left/>
      <right/>
      <top/>
      <bottom style="thin">
        <color rgb="FFDDD8CC"/>
      </bottom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17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2" borderId="0" xfId="0" applyFont="true" applyBorder="false" applyAlignment="true" applyProtection="false">
      <alignment horizontal="center" vertical="center" textRotation="0" wrapText="true" indent="0" shrinkToFit="false"/>
      <protection locked="true" hidden="false"/>
    </xf>
    <xf numFmtId="164" fontId="5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6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5" fillId="0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7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8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9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10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5" fontId="11" fillId="3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6" fontId="10" fillId="0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5" fontId="5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5" fontId="12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12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5" fillId="3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10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5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A6100"/>
      <rgbColor rgb="FF800080"/>
      <rgbColor rgb="FF008080"/>
      <rgbColor rgb="FFC0C0C0"/>
      <rgbColor rgb="FF808080"/>
      <rgbColor rgb="FF9999FF"/>
      <rgbColor rgb="FF993366"/>
      <rgbColor rgb="FFFFF4C2"/>
      <rgbColor rgb="FFCCFFFF"/>
      <rgbColor rgb="FF660066"/>
      <rgbColor rgb="FFFF8080"/>
      <rgbColor rgb="FF0066CC"/>
      <rgbColor rgb="FFDDD8CC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D62E"/>
      <rgbColor rgb="FFFF9900"/>
      <rgbColor rgb="FFFF6600"/>
      <rgbColor rgb="FF5A5B5E"/>
      <rgbColor rgb="FF969696"/>
      <rgbColor rgb="FF003366"/>
      <rgbColor rgb="FF1F8A4C"/>
      <rgbColor rgb="FF003300"/>
      <rgbColor rgb="FF333300"/>
      <rgbColor rgb="FFB91C1C"/>
      <rgbColor rgb="FF993366"/>
      <rgbColor rgb="FF333399"/>
      <rgbColor rgb="FF333438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_rels/sheet2.xml.rels><?xml version="1.0" encoding="UTF-8"?>
<Relationships xmlns="http://schemas.openxmlformats.org/package/2006/relationships"><Relationship Id="rId1" Type="http://schemas.openxmlformats.org/officeDocument/2006/relationships/comments" Target="../comments2.xml"/><Relationship Id="rId2" Type="http://schemas.openxmlformats.org/officeDocument/2006/relationships/vmlDrawing" Target="../drawings/vmlDrawing1.v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R7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pane xSplit="3" ySplit="1" topLeftCell="D2" activePane="bottomRight" state="frozen"/>
      <selection pane="topLeft" activeCell="A1" activeCellId="0" sqref="A1"/>
      <selection pane="topRight" activeCell="D1" activeCellId="0" sqref="D1"/>
      <selection pane="bottomLeft" activeCell="A2" activeCellId="0" sqref="A2"/>
      <selection pane="bottomRigh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10"/>
    <col collapsed="false" customWidth="true" hidden="false" outlineLevel="0" max="2" min="2" style="0" width="8"/>
    <col collapsed="false" customWidth="true" hidden="false" outlineLevel="0" max="3" min="3" style="0" width="18"/>
    <col collapsed="false" customWidth="true" hidden="false" outlineLevel="0" max="4" min="4" style="0" width="12"/>
    <col collapsed="false" customWidth="true" hidden="false" outlineLevel="0" max="6" min="5" style="0" width="10"/>
    <col collapsed="false" customWidth="true" hidden="false" outlineLevel="0" max="7" min="7" style="0" width="9"/>
    <col collapsed="false" customWidth="true" hidden="false" outlineLevel="0" max="8" min="8" style="0" width="8"/>
    <col collapsed="false" customWidth="true" hidden="false" outlineLevel="0" max="9" min="9" style="0" width="12"/>
    <col collapsed="false" customWidth="true" hidden="false" outlineLevel="0" max="10" min="10" style="0" width="11"/>
    <col collapsed="false" customWidth="true" hidden="false" outlineLevel="0" max="11" min="11" style="0" width="8"/>
    <col collapsed="false" customWidth="true" hidden="false" outlineLevel="0" max="14" min="12" style="0" width="7"/>
    <col collapsed="false" customWidth="true" hidden="false" outlineLevel="0" max="15" min="15" style="0" width="10"/>
    <col collapsed="false" customWidth="true" hidden="false" outlineLevel="0" max="16" min="16" style="0" width="12"/>
    <col collapsed="false" customWidth="true" hidden="false" outlineLevel="0" max="17" min="17" style="0" width="13"/>
    <col collapsed="false" customWidth="true" hidden="false" outlineLevel="0" max="18" min="18" style="0" width="12"/>
  </cols>
  <sheetData>
    <row r="1" customFormat="false" ht="31.5" hidden="false" customHeight="true" outlineLevel="0" collapsed="false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</row>
    <row r="2" customFormat="false" ht="15" hidden="false" customHeight="false" outlineLevel="0" collapsed="false">
      <c r="A2" s="2" t="s">
        <v>18</v>
      </c>
      <c r="B2" s="2" t="s">
        <v>19</v>
      </c>
      <c r="C2" s="2" t="s">
        <v>20</v>
      </c>
      <c r="D2" s="3" t="s">
        <v>21</v>
      </c>
      <c r="E2" s="4" t="n">
        <v>25</v>
      </c>
      <c r="F2" s="4" t="n">
        <v>25</v>
      </c>
      <c r="G2" s="4" t="n">
        <v>25</v>
      </c>
      <c r="H2" s="4" t="n">
        <v>0</v>
      </c>
      <c r="I2" s="4" t="n">
        <v>0</v>
      </c>
      <c r="J2" s="4" t="n">
        <v>0</v>
      </c>
      <c r="K2" s="4" t="n">
        <v>0</v>
      </c>
      <c r="L2" s="4" t="n">
        <v>0</v>
      </c>
      <c r="M2" s="4" t="n">
        <v>0</v>
      </c>
      <c r="N2" s="4" t="n">
        <v>0</v>
      </c>
      <c r="O2" s="4" t="n">
        <v>6</v>
      </c>
      <c r="P2" s="4" t="n">
        <v>2</v>
      </c>
      <c r="Q2" s="4" t="n">
        <v>1</v>
      </c>
      <c r="R2" s="4" t="n">
        <v>0</v>
      </c>
    </row>
    <row r="3" customFormat="false" ht="15" hidden="false" customHeight="false" outlineLevel="0" collapsed="false">
      <c r="A3" s="2" t="s">
        <v>18</v>
      </c>
      <c r="B3" s="2" t="s">
        <v>22</v>
      </c>
      <c r="C3" s="2" t="s">
        <v>23</v>
      </c>
      <c r="D3" s="5" t="s">
        <v>24</v>
      </c>
      <c r="E3" s="4" t="n">
        <v>25</v>
      </c>
      <c r="F3" s="4" t="n">
        <v>21</v>
      </c>
      <c r="G3" s="4" t="n">
        <v>14</v>
      </c>
      <c r="H3" s="4" t="n">
        <v>7</v>
      </c>
      <c r="I3" s="4" t="n">
        <v>72</v>
      </c>
      <c r="J3" s="4" t="n">
        <v>2</v>
      </c>
      <c r="K3" s="4" t="n">
        <v>1</v>
      </c>
      <c r="L3" s="4" t="n">
        <v>2</v>
      </c>
      <c r="M3" s="4" t="n">
        <v>0</v>
      </c>
      <c r="N3" s="4" t="n">
        <v>1</v>
      </c>
      <c r="O3" s="4" t="n">
        <v>5</v>
      </c>
      <c r="P3" s="4" t="n">
        <v>1</v>
      </c>
      <c r="Q3" s="4" t="n">
        <v>0</v>
      </c>
      <c r="R3" s="4" t="n">
        <v>0</v>
      </c>
    </row>
    <row r="4" customFormat="false" ht="15" hidden="false" customHeight="false" outlineLevel="0" collapsed="false">
      <c r="A4" s="2" t="s">
        <v>18</v>
      </c>
      <c r="B4" s="2" t="s">
        <v>25</v>
      </c>
      <c r="C4" s="2" t="s">
        <v>26</v>
      </c>
      <c r="D4" s="6" t="s">
        <v>27</v>
      </c>
      <c r="E4" s="4" t="n">
        <v>25</v>
      </c>
      <c r="F4" s="4" t="n">
        <v>24</v>
      </c>
      <c r="G4" s="4" t="n">
        <v>23</v>
      </c>
      <c r="H4" s="4" t="n">
        <v>1</v>
      </c>
      <c r="I4" s="4" t="n">
        <v>4</v>
      </c>
      <c r="J4" s="4" t="n">
        <v>0</v>
      </c>
      <c r="K4" s="4" t="n">
        <v>0</v>
      </c>
      <c r="L4" s="4" t="n">
        <v>1</v>
      </c>
      <c r="M4" s="4" t="n">
        <v>0</v>
      </c>
      <c r="N4" s="4" t="n">
        <v>0</v>
      </c>
      <c r="O4" s="4" t="n">
        <v>6</v>
      </c>
      <c r="P4" s="4" t="n">
        <v>0</v>
      </c>
      <c r="Q4" s="4" t="n">
        <v>0</v>
      </c>
      <c r="R4" s="4" t="n">
        <v>0</v>
      </c>
    </row>
    <row r="5" customFormat="false" ht="15" hidden="false" customHeight="false" outlineLevel="0" collapsed="false">
      <c r="A5" s="2" t="s">
        <v>18</v>
      </c>
      <c r="B5" s="2" t="s">
        <v>28</v>
      </c>
      <c r="C5" s="2" t="s">
        <v>29</v>
      </c>
      <c r="D5" s="6" t="s">
        <v>27</v>
      </c>
      <c r="E5" s="4" t="n">
        <v>25</v>
      </c>
      <c r="F5" s="4" t="n">
        <v>22</v>
      </c>
      <c r="G5" s="4" t="n">
        <v>20</v>
      </c>
      <c r="H5" s="4" t="n">
        <v>2</v>
      </c>
      <c r="I5" s="4" t="n">
        <v>9</v>
      </c>
      <c r="J5" s="4" t="n">
        <v>0</v>
      </c>
      <c r="K5" s="4" t="n">
        <v>0</v>
      </c>
      <c r="L5" s="4" t="n">
        <v>0</v>
      </c>
      <c r="M5" s="4" t="n">
        <v>2</v>
      </c>
      <c r="N5" s="4" t="n">
        <v>1</v>
      </c>
      <c r="O5" s="4" t="n">
        <v>4</v>
      </c>
      <c r="P5" s="4" t="n">
        <v>3</v>
      </c>
      <c r="Q5" s="4" t="n">
        <v>1</v>
      </c>
      <c r="R5" s="4" t="n">
        <v>0</v>
      </c>
    </row>
    <row r="7" customFormat="false" ht="15" hidden="false" customHeight="false" outlineLevel="0" collapsed="false">
      <c r="A7" s="7" t="s">
        <v>30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V10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3" ySplit="1" topLeftCell="D2" activePane="bottomRight" state="frozen"/>
      <selection pane="topLeft" activeCell="A1" activeCellId="0" sqref="A1"/>
      <selection pane="topRight" activeCell="D1" activeCellId="0" sqref="D1"/>
      <selection pane="bottomLeft" activeCell="A2" activeCellId="0" sqref="A2"/>
      <selection pane="bottomRigh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10"/>
    <col collapsed="false" customWidth="true" hidden="false" outlineLevel="0" max="2" min="2" style="0" width="8"/>
    <col collapsed="false" customWidth="true" hidden="false" outlineLevel="0" max="3" min="3" style="0" width="18"/>
    <col collapsed="false" customWidth="true" hidden="false" outlineLevel="0" max="4" min="4" style="0" width="13"/>
    <col collapsed="false" customWidth="true" hidden="false" outlineLevel="0" max="6" min="5" style="0" width="11"/>
    <col collapsed="false" customWidth="true" hidden="false" outlineLevel="0" max="7" min="7" style="0" width="12"/>
    <col collapsed="false" customWidth="true" hidden="false" outlineLevel="0" max="8" min="8" style="0" width="11"/>
    <col collapsed="false" customWidth="true" hidden="false" outlineLevel="0" max="9" min="9" style="0" width="12"/>
    <col collapsed="false" customWidth="true" hidden="false" outlineLevel="0" max="11" min="10" style="0" width="9"/>
    <col collapsed="false" customWidth="true" hidden="false" outlineLevel="0" max="12" min="12" style="0" width="8"/>
    <col collapsed="false" customWidth="true" hidden="false" outlineLevel="0" max="16" min="13" style="0" width="7"/>
    <col collapsed="false" customWidth="true" hidden="false" outlineLevel="0" max="19" min="17" style="0" width="11"/>
    <col collapsed="false" customWidth="true" hidden="false" outlineLevel="0" max="20" min="20" style="0" width="16"/>
    <col collapsed="false" customWidth="true" hidden="false" outlineLevel="0" max="21" min="21" style="0" width="15"/>
    <col collapsed="false" customWidth="true" hidden="false" outlineLevel="0" max="22" min="22" style="0" width="14"/>
  </cols>
  <sheetData>
    <row r="1" customFormat="false" ht="31.5" hidden="false" customHeight="true" outlineLevel="0" collapsed="false">
      <c r="A1" s="1" t="s">
        <v>0</v>
      </c>
      <c r="B1" s="1" t="s">
        <v>1</v>
      </c>
      <c r="C1" s="1" t="s">
        <v>2</v>
      </c>
      <c r="D1" s="1" t="s">
        <v>31</v>
      </c>
      <c r="E1" s="1" t="s">
        <v>32</v>
      </c>
      <c r="F1" s="1" t="s">
        <v>33</v>
      </c>
      <c r="G1" s="1" t="s">
        <v>34</v>
      </c>
      <c r="H1" s="1" t="s">
        <v>35</v>
      </c>
      <c r="I1" s="1" t="s">
        <v>36</v>
      </c>
      <c r="J1" s="1" t="s">
        <v>5</v>
      </c>
      <c r="K1" s="1" t="s">
        <v>14</v>
      </c>
      <c r="L1" s="1" t="s">
        <v>6</v>
      </c>
      <c r="M1" s="1" t="s">
        <v>7</v>
      </c>
      <c r="N1" s="1" t="s">
        <v>11</v>
      </c>
      <c r="O1" s="1" t="s">
        <v>12</v>
      </c>
      <c r="P1" s="1" t="s">
        <v>13</v>
      </c>
      <c r="Q1" s="1" t="s">
        <v>37</v>
      </c>
      <c r="R1" s="1" t="s">
        <v>38</v>
      </c>
      <c r="S1" s="1" t="s">
        <v>39</v>
      </c>
      <c r="T1" s="1" t="s">
        <v>40</v>
      </c>
      <c r="U1" s="1" t="s">
        <v>41</v>
      </c>
      <c r="V1" s="1" t="s">
        <v>42</v>
      </c>
    </row>
    <row r="2" customFormat="false" ht="15" hidden="false" customHeight="false" outlineLevel="0" collapsed="false">
      <c r="A2" s="8" t="str">
        <f aca="false">Data!A2</f>
        <v>Ngawi</v>
      </c>
      <c r="B2" s="8" t="str">
        <f aca="false">Data!B2</f>
        <v>K001</v>
      </c>
      <c r="C2" s="8" t="str">
        <f aca="false">Data!C2</f>
        <v>Ahmad Fauzi</v>
      </c>
      <c r="D2" s="9" t="n">
        <v>750000</v>
      </c>
      <c r="E2" s="9" t="n">
        <v>50000</v>
      </c>
      <c r="F2" s="9" t="n">
        <v>200000</v>
      </c>
      <c r="G2" s="9" t="n">
        <v>750000</v>
      </c>
      <c r="H2" s="9" t="n">
        <v>70000</v>
      </c>
      <c r="I2" s="9" t="n">
        <v>125000</v>
      </c>
      <c r="J2" s="10" t="n">
        <f aca="false">INDEX(Data!$F:$F,MATCH($B2,Data!$B:$B,0))</f>
        <v>25</v>
      </c>
      <c r="K2" s="10" t="n">
        <f aca="false">INDEX(Data!$O:$O,MATCH($B2,Data!$B:$B,0))</f>
        <v>6</v>
      </c>
      <c r="L2" s="10" t="n">
        <f aca="false">INDEX(Data!$G:$G,MATCH($B2,Data!$B:$B,0))</f>
        <v>25</v>
      </c>
      <c r="M2" s="10" t="n">
        <f aca="false">INDEX(Data!$H:$H,MATCH($B2,Data!$B:$B,0))</f>
        <v>0</v>
      </c>
      <c r="N2" s="10" t="n">
        <f aca="false">INDEX(Data!$L:$L,MATCH($B2,Data!$B:$B,0))</f>
        <v>0</v>
      </c>
      <c r="O2" s="10" t="n">
        <f aca="false">INDEX(Data!$M:$M,MATCH($B2,Data!$B:$B,0))</f>
        <v>0</v>
      </c>
      <c r="P2" s="10" t="n">
        <f aca="false">INDEX(Data!$N:$N,MATCH($B2,Data!$B:$B,0))</f>
        <v>0</v>
      </c>
      <c r="Q2" s="9"/>
      <c r="R2" s="9"/>
      <c r="S2" s="9"/>
      <c r="T2" s="11" t="n">
        <f aca="false">SUM(D2:I2)</f>
        <v>1945000</v>
      </c>
      <c r="U2" s="11" t="n">
        <f aca="false">Q2+R2</f>
        <v>0</v>
      </c>
      <c r="V2" s="12" t="n">
        <f aca="false">T2-U2</f>
        <v>1945000</v>
      </c>
    </row>
    <row r="3" customFormat="false" ht="15" hidden="false" customHeight="false" outlineLevel="0" collapsed="false">
      <c r="A3" s="8" t="str">
        <f aca="false">Data!A3</f>
        <v>Ngawi</v>
      </c>
      <c r="B3" s="8" t="str">
        <f aca="false">Data!B3</f>
        <v>K003</v>
      </c>
      <c r="C3" s="8" t="str">
        <f aca="false">Data!C3</f>
        <v>Budi Santoso</v>
      </c>
      <c r="D3" s="9"/>
      <c r="E3" s="9"/>
      <c r="F3" s="9"/>
      <c r="G3" s="9"/>
      <c r="H3" s="9"/>
      <c r="I3" s="9"/>
      <c r="J3" s="10" t="n">
        <f aca="false">INDEX(Data!$F:$F,MATCH($B3,Data!$B:$B,0))</f>
        <v>21</v>
      </c>
      <c r="K3" s="10" t="n">
        <f aca="false">INDEX(Data!$O:$O,MATCH($B3,Data!$B:$B,0))</f>
        <v>5</v>
      </c>
      <c r="L3" s="10" t="n">
        <f aca="false">INDEX(Data!$G:$G,MATCH($B3,Data!$B:$B,0))</f>
        <v>14</v>
      </c>
      <c r="M3" s="10" t="n">
        <f aca="false">INDEX(Data!$H:$H,MATCH($B3,Data!$B:$B,0))</f>
        <v>7</v>
      </c>
      <c r="N3" s="10" t="n">
        <f aca="false">INDEX(Data!$L:$L,MATCH($B3,Data!$B:$B,0))</f>
        <v>2</v>
      </c>
      <c r="O3" s="10" t="n">
        <f aca="false">INDEX(Data!$M:$M,MATCH($B3,Data!$B:$B,0))</f>
        <v>0</v>
      </c>
      <c r="P3" s="10" t="n">
        <f aca="false">INDEX(Data!$N:$N,MATCH($B3,Data!$B:$B,0))</f>
        <v>1</v>
      </c>
      <c r="Q3" s="9"/>
      <c r="R3" s="9"/>
      <c r="S3" s="9"/>
      <c r="T3" s="11" t="n">
        <f aca="false">SUM(D3:I3)</f>
        <v>0</v>
      </c>
      <c r="U3" s="11" t="n">
        <f aca="false">Q3+R3</f>
        <v>0</v>
      </c>
      <c r="V3" s="12" t="n">
        <f aca="false">T3-U3</f>
        <v>0</v>
      </c>
    </row>
    <row r="4" customFormat="false" ht="15" hidden="false" customHeight="false" outlineLevel="0" collapsed="false">
      <c r="A4" s="8" t="str">
        <f aca="false">Data!A4</f>
        <v>Ngawi</v>
      </c>
      <c r="B4" s="8" t="str">
        <f aca="false">Data!B4</f>
        <v>K004</v>
      </c>
      <c r="C4" s="8" t="str">
        <f aca="false">Data!C4</f>
        <v>Rina Wati</v>
      </c>
      <c r="D4" s="9"/>
      <c r="E4" s="9"/>
      <c r="F4" s="9"/>
      <c r="G4" s="9"/>
      <c r="H4" s="9"/>
      <c r="I4" s="9"/>
      <c r="J4" s="10" t="n">
        <f aca="false">INDEX(Data!$F:$F,MATCH($B4,Data!$B:$B,0))</f>
        <v>24</v>
      </c>
      <c r="K4" s="10" t="n">
        <f aca="false">INDEX(Data!$O:$O,MATCH($B4,Data!$B:$B,0))</f>
        <v>6</v>
      </c>
      <c r="L4" s="10" t="n">
        <f aca="false">INDEX(Data!$G:$G,MATCH($B4,Data!$B:$B,0))</f>
        <v>23</v>
      </c>
      <c r="M4" s="10" t="n">
        <f aca="false">INDEX(Data!$H:$H,MATCH($B4,Data!$B:$B,0))</f>
        <v>1</v>
      </c>
      <c r="N4" s="10" t="n">
        <f aca="false">INDEX(Data!$L:$L,MATCH($B4,Data!$B:$B,0))</f>
        <v>1</v>
      </c>
      <c r="O4" s="10" t="n">
        <f aca="false">INDEX(Data!$M:$M,MATCH($B4,Data!$B:$B,0))</f>
        <v>0</v>
      </c>
      <c r="P4" s="10" t="n">
        <f aca="false">INDEX(Data!$N:$N,MATCH($B4,Data!$B:$B,0))</f>
        <v>0</v>
      </c>
      <c r="Q4" s="9"/>
      <c r="R4" s="9"/>
      <c r="S4" s="9"/>
      <c r="T4" s="11" t="n">
        <f aca="false">SUM(D4:I4)</f>
        <v>0</v>
      </c>
      <c r="U4" s="11" t="n">
        <f aca="false">Q4+R4</f>
        <v>0</v>
      </c>
      <c r="V4" s="12" t="n">
        <f aca="false">T4-U4</f>
        <v>0</v>
      </c>
    </row>
    <row r="5" customFormat="false" ht="15" hidden="false" customHeight="false" outlineLevel="0" collapsed="false">
      <c r="A5" s="8" t="str">
        <f aca="false">Data!A5</f>
        <v>Ngawi</v>
      </c>
      <c r="B5" s="8" t="str">
        <f aca="false">Data!B5</f>
        <v>K002</v>
      </c>
      <c r="C5" s="8" t="str">
        <f aca="false">Data!C5</f>
        <v>Siti Rohmah</v>
      </c>
      <c r="D5" s="9"/>
      <c r="E5" s="9"/>
      <c r="F5" s="9"/>
      <c r="G5" s="9"/>
      <c r="H5" s="9"/>
      <c r="I5" s="9"/>
      <c r="J5" s="10" t="n">
        <f aca="false">INDEX(Data!$F:$F,MATCH($B5,Data!$B:$B,0))</f>
        <v>22</v>
      </c>
      <c r="K5" s="10" t="n">
        <f aca="false">INDEX(Data!$O:$O,MATCH($B5,Data!$B:$B,0))</f>
        <v>4</v>
      </c>
      <c r="L5" s="10" t="n">
        <f aca="false">INDEX(Data!$G:$G,MATCH($B5,Data!$B:$B,0))</f>
        <v>20</v>
      </c>
      <c r="M5" s="10" t="n">
        <f aca="false">INDEX(Data!$H:$H,MATCH($B5,Data!$B:$B,0))</f>
        <v>2</v>
      </c>
      <c r="N5" s="10" t="n">
        <f aca="false">INDEX(Data!$L:$L,MATCH($B5,Data!$B:$B,0))</f>
        <v>0</v>
      </c>
      <c r="O5" s="10" t="n">
        <f aca="false">INDEX(Data!$M:$M,MATCH($B5,Data!$B:$B,0))</f>
        <v>2</v>
      </c>
      <c r="P5" s="10" t="n">
        <f aca="false">INDEX(Data!$N:$N,MATCH($B5,Data!$B:$B,0))</f>
        <v>1</v>
      </c>
      <c r="Q5" s="9"/>
      <c r="R5" s="9"/>
      <c r="S5" s="9"/>
      <c r="T5" s="11" t="n">
        <f aca="false">SUM(D5:I5)</f>
        <v>0</v>
      </c>
      <c r="U5" s="11" t="n">
        <f aca="false">Q5+R5</f>
        <v>0</v>
      </c>
      <c r="V5" s="12" t="n">
        <f aca="false">T5-U5</f>
        <v>0</v>
      </c>
    </row>
    <row r="7" customFormat="false" ht="15" hidden="false" customHeight="false" outlineLevel="0" collapsed="false">
      <c r="C7" s="13" t="s">
        <v>43</v>
      </c>
    </row>
    <row r="8" customFormat="false" ht="15" hidden="false" customHeight="false" outlineLevel="0" collapsed="false">
      <c r="C8" s="14" t="s">
        <v>44</v>
      </c>
    </row>
    <row r="9" customFormat="false" ht="15" hidden="false" customHeight="false" outlineLevel="0" collapsed="false">
      <c r="C9" s="15" t="s">
        <v>45</v>
      </c>
    </row>
    <row r="10" customFormat="false" ht="15" hidden="false" customHeight="false" outlineLevel="0" collapsed="false">
      <c r="C10" s="16" t="s">
        <v>46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legacy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2026-10-01T02:27:11Z</dcterms:created>
  <dc:creator>openpyxl</dc:creator>
  <dc:description/>
  <dc:language>en-US</dc:language>
  <cp:lastModifiedBy/>
  <dcterms:modified xsi:type="dcterms:W3CDTF">2026-10-01T02:27:11Z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